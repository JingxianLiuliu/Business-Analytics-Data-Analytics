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urtis\Desktop\Exercise Files\"/>
    </mc:Choice>
  </mc:AlternateContent>
  <xr:revisionPtr revIDLastSave="0" documentId="13_ncr:1_{F0DD31A9-5D07-4376-A472-4502C2BE0533}" xr6:coauthVersionLast="47" xr6:coauthVersionMax="47" xr10:uidLastSave="{00000000-0000-0000-0000-000000000000}"/>
  <bookViews>
    <workbookView xWindow="-120" yWindow="-120" windowWidth="19440" windowHeight="11040" xr2:uid="{9B9CBB18-8AF8-411B-9122-BAA0636B05E3}"/>
  </bookViews>
  <sheets>
    <sheet name="ModelSheet" sheetId="1" r:id="rId1"/>
  </sheets>
  <definedNames>
    <definedName name="solver_adj" localSheetId="0" hidden="1">ModelSheet!$H$11:$I$13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ModelSheet!$H$11:$I$13</definedName>
    <definedName name="solver_lhs2" localSheetId="0" hidden="1">ModelSheet!$H$11:$I$13</definedName>
    <definedName name="solver_lhs3" localSheetId="0" hidden="1">ModelSheet!$H$14:$I$14</definedName>
    <definedName name="solver_lhs4" localSheetId="0" hidden="1">ModelSheet!$J$11:$J$13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4</definedName>
    <definedName name="solver_nwt" localSheetId="0" hidden="1">1</definedName>
    <definedName name="solver_opt" localSheetId="0" hidden="1">ModelSheet!$C$16</definedName>
    <definedName name="solver_pre" localSheetId="0" hidden="1">0.000001</definedName>
    <definedName name="solver_rbv" localSheetId="0" hidden="1">1</definedName>
    <definedName name="solver_rel1" localSheetId="0" hidden="1">4</definedName>
    <definedName name="solver_rel2" localSheetId="0" hidden="1">3</definedName>
    <definedName name="solver_rel3" localSheetId="0" hidden="1">1</definedName>
    <definedName name="solver_rel4" localSheetId="0" hidden="1">2</definedName>
    <definedName name="solver_rhs1" localSheetId="0" hidden="1">"integer"</definedName>
    <definedName name="solver_rhs2" localSheetId="0" hidden="1">0</definedName>
    <definedName name="solver_rhs3" localSheetId="0" hidden="1">ModelSheet!$K$4:$L$4</definedName>
    <definedName name="solver_rhs4" localSheetId="0" hidden="1">ModelSheet!$C$4:$C$6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1" i="1" l="1"/>
  <c r="C4" i="1" s="1"/>
  <c r="C22" i="1"/>
  <c r="C5" i="1" s="1"/>
  <c r="C23" i="1"/>
  <c r="C6" i="1" s="1"/>
  <c r="C16" i="1"/>
  <c r="C24" i="1" l="1"/>
  <c r="C7" i="1" s="1"/>
  <c r="H14" i="1"/>
  <c r="L4" i="1"/>
  <c r="K4" i="1"/>
  <c r="I14" i="1"/>
  <c r="J11" i="1"/>
  <c r="J12" i="1"/>
  <c r="J13" i="1"/>
  <c r="H6" i="1"/>
  <c r="J14" i="1" l="1"/>
</calcChain>
</file>

<file path=xl/sharedStrings.xml><?xml version="1.0" encoding="utf-8"?>
<sst xmlns="http://schemas.openxmlformats.org/spreadsheetml/2006/main" count="38" uniqueCount="17">
  <si>
    <t>Demand</t>
  </si>
  <si>
    <t>City</t>
  </si>
  <si>
    <t>Units</t>
  </si>
  <si>
    <t>Portland</t>
  </si>
  <si>
    <t>Suppliers</t>
  </si>
  <si>
    <t>Capacity</t>
  </si>
  <si>
    <t>Beaverton</t>
  </si>
  <si>
    <t>Distance</t>
  </si>
  <si>
    <t>Oregon City</t>
  </si>
  <si>
    <t>Tigard</t>
  </si>
  <si>
    <t>Milwaukie</t>
  </si>
  <si>
    <t>Volume</t>
  </si>
  <si>
    <t>Mean</t>
  </si>
  <si>
    <t>Std Dev</t>
  </si>
  <si>
    <t>Total</t>
  </si>
  <si>
    <t>Random Demand</t>
  </si>
  <si>
    <t>Total Item Miles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</si>
</sst>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3" fillId="0" borderId="0" xfId="0" applyFont="1" applyAlignment="1">
      <alignment horizontal="center"/>
    </xf>
    <xf numFmtId="0" fontId="2" fillId="0" borderId="0" xfId="0" applyFont="1" applyFill="1" applyBorder="1"/>
    <xf numFmtId="0" fontId="0" fillId="0" borderId="0" xfId="0" applyAlignment="1">
      <alignment horizontal="left"/>
    </xf>
    <xf numFmtId="0" fontId="0" fillId="0" borderId="0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2" fillId="0" borderId="10" xfId="0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2" fillId="0" borderId="0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0" fillId="0" borderId="16" xfId="0" applyBorder="1"/>
    <xf numFmtId="0" fontId="0" fillId="0" borderId="17" xfId="0" applyBorder="1"/>
    <xf numFmtId="0" fontId="2" fillId="0" borderId="16" xfId="0" applyFont="1" applyBorder="1" applyAlignment="1">
      <alignment horizontal="center"/>
    </xf>
    <xf numFmtId="164" fontId="2" fillId="4" borderId="0" xfId="1" applyNumberFormat="1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3B640-78BF-40C2-89DA-14ADAD41FCAE}">
  <sheetPr codeName="Sheet1"/>
  <dimension ref="B2:L24"/>
  <sheetViews>
    <sheetView tabSelected="1" zoomScale="120" zoomScaleNormal="120" workbookViewId="0">
      <selection activeCell="C16" sqref="C16"/>
    </sheetView>
  </sheetViews>
  <sheetFormatPr defaultRowHeight="15" x14ac:dyDescent="0.25"/>
  <cols>
    <col min="1" max="1" width="3.5703125" customWidth="1"/>
    <col min="2" max="2" width="16.28515625" bestFit="1" customWidth="1"/>
    <col min="3" max="3" width="12.85546875" bestFit="1" customWidth="1"/>
    <col min="4" max="4" width="12.5703125" bestFit="1" customWidth="1"/>
    <col min="5" max="5" width="12.5703125" customWidth="1"/>
    <col min="6" max="6" width="12.28515625" customWidth="1"/>
    <col min="7" max="7" width="14.5703125" customWidth="1"/>
    <col min="8" max="8" width="12.7109375" customWidth="1"/>
    <col min="11" max="12" width="12.5703125" bestFit="1" customWidth="1"/>
  </cols>
  <sheetData>
    <row r="2" spans="2:12" ht="18.75" x14ac:dyDescent="0.3">
      <c r="B2" s="4" t="s">
        <v>0</v>
      </c>
      <c r="G2" s="4" t="s">
        <v>4</v>
      </c>
    </row>
    <row r="3" spans="2:12" x14ac:dyDescent="0.25">
      <c r="B3" s="2" t="s">
        <v>1</v>
      </c>
      <c r="C3" s="2" t="s">
        <v>2</v>
      </c>
      <c r="G3" s="2" t="s">
        <v>1</v>
      </c>
      <c r="H3" s="2" t="s">
        <v>5</v>
      </c>
      <c r="I3" s="1"/>
      <c r="J3" s="2" t="s">
        <v>1</v>
      </c>
      <c r="K3" s="2" t="s">
        <v>10</v>
      </c>
      <c r="L3" s="2" t="s">
        <v>9</v>
      </c>
    </row>
    <row r="4" spans="2:12" x14ac:dyDescent="0.25">
      <c r="B4" t="s">
        <v>3</v>
      </c>
      <c r="C4" s="20">
        <f t="shared" ref="C4:C6" ca="1" si="0">C21</f>
        <v>138</v>
      </c>
      <c r="G4" s="6" t="s">
        <v>10</v>
      </c>
      <c r="H4" s="20">
        <v>330</v>
      </c>
      <c r="J4" s="3" t="s">
        <v>5</v>
      </c>
      <c r="K4" s="1">
        <f>H4</f>
        <v>330</v>
      </c>
      <c r="L4" s="1">
        <f>H5</f>
        <v>220</v>
      </c>
    </row>
    <row r="5" spans="2:12" x14ac:dyDescent="0.25">
      <c r="B5" t="s">
        <v>8</v>
      </c>
      <c r="C5" s="21">
        <f t="shared" ca="1" si="0"/>
        <v>98</v>
      </c>
      <c r="G5" s="6" t="s">
        <v>9</v>
      </c>
      <c r="H5" s="22">
        <v>220</v>
      </c>
    </row>
    <row r="6" spans="2:12" x14ac:dyDescent="0.25">
      <c r="B6" t="s">
        <v>6</v>
      </c>
      <c r="C6" s="22">
        <f t="shared" ca="1" si="0"/>
        <v>107</v>
      </c>
      <c r="H6" s="2">
        <f>SUM(H4:H5)</f>
        <v>550</v>
      </c>
    </row>
    <row r="7" spans="2:12" x14ac:dyDescent="0.25">
      <c r="B7" s="2" t="s">
        <v>14</v>
      </c>
      <c r="C7" s="2">
        <f ca="1">C24</f>
        <v>343</v>
      </c>
    </row>
    <row r="9" spans="2:12" ht="18.75" x14ac:dyDescent="0.3">
      <c r="B9" s="4" t="s">
        <v>7</v>
      </c>
      <c r="G9" s="4" t="s">
        <v>11</v>
      </c>
    </row>
    <row r="10" spans="2:12" x14ac:dyDescent="0.25">
      <c r="C10" s="2" t="s">
        <v>10</v>
      </c>
      <c r="D10" s="2" t="s">
        <v>9</v>
      </c>
      <c r="E10" s="2"/>
      <c r="H10" s="2" t="s">
        <v>10</v>
      </c>
      <c r="I10" s="2" t="s">
        <v>9</v>
      </c>
      <c r="J10" s="2" t="s">
        <v>14</v>
      </c>
    </row>
    <row r="11" spans="2:12" x14ac:dyDescent="0.25">
      <c r="B11" s="3" t="s">
        <v>3</v>
      </c>
      <c r="C11" s="14">
        <v>7</v>
      </c>
      <c r="D11" s="15">
        <v>9</v>
      </c>
      <c r="E11" s="7"/>
      <c r="G11" s="3" t="s">
        <v>3</v>
      </c>
      <c r="H11" s="8">
        <v>204</v>
      </c>
      <c r="I11" s="9">
        <v>4</v>
      </c>
      <c r="J11" s="1">
        <f t="shared" ref="J11:J13" si="1">SUM(H11:I11)</f>
        <v>208</v>
      </c>
    </row>
    <row r="12" spans="2:12" x14ac:dyDescent="0.25">
      <c r="B12" s="3" t="s">
        <v>8</v>
      </c>
      <c r="C12" s="16">
        <v>15</v>
      </c>
      <c r="D12" s="17">
        <v>17</v>
      </c>
      <c r="E12" s="7"/>
      <c r="G12" s="3" t="s">
        <v>8</v>
      </c>
      <c r="H12" s="10">
        <v>126</v>
      </c>
      <c r="I12" s="11">
        <v>0</v>
      </c>
      <c r="J12" s="1">
        <f t="shared" si="1"/>
        <v>126</v>
      </c>
    </row>
    <row r="13" spans="2:12" x14ac:dyDescent="0.25">
      <c r="B13" s="3" t="s">
        <v>6</v>
      </c>
      <c r="C13" s="18">
        <v>13</v>
      </c>
      <c r="D13" s="19">
        <v>7</v>
      </c>
      <c r="E13" s="7"/>
      <c r="G13" s="3" t="s">
        <v>6</v>
      </c>
      <c r="H13" s="12">
        <v>0</v>
      </c>
      <c r="I13" s="13">
        <v>97</v>
      </c>
      <c r="J13" s="1">
        <f t="shared" si="1"/>
        <v>97</v>
      </c>
    </row>
    <row r="14" spans="2:12" x14ac:dyDescent="0.25">
      <c r="H14" s="1">
        <f t="shared" ref="H14:I14" si="2">SUM(H11:H13)</f>
        <v>330</v>
      </c>
      <c r="I14" s="1">
        <f t="shared" si="2"/>
        <v>101</v>
      </c>
      <c r="J14" s="2">
        <f>SUM(J11:J13)</f>
        <v>431</v>
      </c>
    </row>
    <row r="16" spans="2:12" x14ac:dyDescent="0.25">
      <c r="B16" s="5" t="s">
        <v>16</v>
      </c>
      <c r="C16" s="34">
        <f>SUMPRODUCT(C11:D13,H11:I13)</f>
        <v>4033</v>
      </c>
    </row>
    <row r="18" spans="2:5" ht="15.75" thickBot="1" x14ac:dyDescent="0.3"/>
    <row r="19" spans="2:5" x14ac:dyDescent="0.25">
      <c r="B19" s="23" t="s">
        <v>15</v>
      </c>
      <c r="C19" s="24"/>
      <c r="D19" s="24"/>
      <c r="E19" s="25"/>
    </row>
    <row r="20" spans="2:5" x14ac:dyDescent="0.25">
      <c r="B20" s="26"/>
      <c r="C20" s="27" t="s">
        <v>2</v>
      </c>
      <c r="D20" s="27" t="s">
        <v>12</v>
      </c>
      <c r="E20" s="28" t="s">
        <v>13</v>
      </c>
    </row>
    <row r="21" spans="2:5" x14ac:dyDescent="0.25">
      <c r="B21" s="26" t="s">
        <v>3</v>
      </c>
      <c r="C21" s="20">
        <f t="shared" ref="C21:C23" ca="1" si="3">ROUNDUP(_xlfn.NORM.INV(RAND(),D21,E21),0)</f>
        <v>138</v>
      </c>
      <c r="D21" s="7">
        <v>220</v>
      </c>
      <c r="E21" s="29">
        <v>30</v>
      </c>
    </row>
    <row r="22" spans="2:5" x14ac:dyDescent="0.25">
      <c r="B22" s="26" t="s">
        <v>8</v>
      </c>
      <c r="C22" s="21">
        <f t="shared" ca="1" si="3"/>
        <v>98</v>
      </c>
      <c r="D22" s="7">
        <v>130</v>
      </c>
      <c r="E22" s="29">
        <v>26</v>
      </c>
    </row>
    <row r="23" spans="2:5" x14ac:dyDescent="0.25">
      <c r="B23" s="26" t="s">
        <v>6</v>
      </c>
      <c r="C23" s="22">
        <f t="shared" ca="1" si="3"/>
        <v>107</v>
      </c>
      <c r="D23" s="7">
        <v>115</v>
      </c>
      <c r="E23" s="29">
        <v>23</v>
      </c>
    </row>
    <row r="24" spans="2:5" ht="15.75" thickBot="1" x14ac:dyDescent="0.3">
      <c r="B24" s="30" t="s">
        <v>14</v>
      </c>
      <c r="C24" s="33">
        <f ca="1">SUM(C21:C23)</f>
        <v>343</v>
      </c>
      <c r="D24" s="31"/>
      <c r="E24" s="3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ModelSheet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Curtis</cp:lastModifiedBy>
  <dcterms:created xsi:type="dcterms:W3CDTF">2021-04-24T22:59:53Z</dcterms:created>
  <dcterms:modified xsi:type="dcterms:W3CDTF">2021-04-28T07:09:32Z</dcterms:modified>
</cp:coreProperties>
</file>